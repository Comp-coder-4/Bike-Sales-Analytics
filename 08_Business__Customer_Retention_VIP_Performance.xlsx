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L FILES DATA ANALYST LEARNING\DATA ANALYST LEARNING\Data with Baraa\Exploratory and Advanced Analytics Project\"/>
    </mc:Choice>
  </mc:AlternateContent>
  <xr:revisionPtr revIDLastSave="0" documentId="13_ncr:1_{5050A45A-B051-4E73-9B19-4DFC68B663FE}" xr6:coauthVersionLast="47" xr6:coauthVersionMax="47" xr10:uidLastSave="{00000000-0000-0000-0000-000000000000}"/>
  <bookViews>
    <workbookView xWindow="-110" yWindow="-110" windowWidth="19420" windowHeight="10300" firstSheet="2" activeTab="2" xr2:uid="{11C6A4C3-78DA-40F0-8640-AD9243C17FF2}"/>
  </bookViews>
  <sheets>
    <sheet name="VIP_data_2011-13" sheetId="3" r:id="rId1"/>
    <sheet name="VIP_pivot_2011-13" sheetId="12" r:id="rId2"/>
    <sheet name="VIP_YoY_2011-13" sheetId="16" r:id="rId3"/>
    <sheet name="VIP_MoM_2011-13" sheetId="1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2" i="3"/>
</calcChain>
</file>

<file path=xl/sharedStrings.xml><?xml version="1.0" encoding="utf-8"?>
<sst xmlns="http://schemas.openxmlformats.org/spreadsheetml/2006/main" count="71" uniqueCount="29">
  <si>
    <t>year</t>
  </si>
  <si>
    <t>month</t>
  </si>
  <si>
    <t>total_orders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</si>
  <si>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</si>
  <si>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</si>
  <si>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</si>
  <si>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</si>
  <si>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</si>
  <si>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</si>
  <si>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</si>
  <si>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</si>
  <si>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</si>
  <si>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</si>
  <si>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</si>
  <si>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</si>
  <si>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</si>
  <si>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total_sales</t>
  </si>
  <si>
    <t>moving_avg_orders</t>
  </si>
  <si>
    <t>moving_avg_sales</t>
  </si>
  <si>
    <t>Grand Total</t>
  </si>
  <si>
    <t>Row Labels</t>
  </si>
  <si>
    <t>Month LookUp</t>
  </si>
  <si>
    <t>Sum of total_sales</t>
  </si>
  <si>
    <t>Sum of moving_avg_sales</t>
  </si>
  <si>
    <t>Total Sales and Moving Average for VIP customers</t>
  </si>
  <si>
    <t>Total Sales: Year on Year</t>
  </si>
  <si>
    <t>Total Sales: Month on Month</t>
  </si>
  <si>
    <t>This gives the seasonality of the sales across all years</t>
  </si>
  <si>
    <t>This give the overall growth/decline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</si>
</sst>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[14_Customer_Retention_VIP_Performance.xlsx]VIP_pivot_2011-13!PivotTable4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Sales and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'VIP_pivot_2011-13'!$B$3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'VIP_pivot_2011-13'!$A$4:$A$43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</c:lvl>
              </c:multiLvlStrCache>
            </c:multiLvlStrRef>
          </c:cat>
          <c:val>
            <c:numRef>
              <c:f>'VIP_pivot_2011-13'!$B$4:$B$43</c:f>
              <c:numCache>
                <c:formatCode>General</c:formatCode>
                <c:ptCount val="36"/>
                <c:pt idx="0">
                  <c:v>296970</c:v>
                </c:pt>
                <c:pt idx="1">
                  <c:v>295777</c:v>
                </c:pt>
                <c:pt idx="2">
                  <c:v>216784</c:v>
                </c:pt>
                <c:pt idx="3">
                  <c:v>242844</c:v>
                </c:pt>
                <c:pt idx="4">
                  <c:v>268321</c:v>
                </c:pt>
                <c:pt idx="5">
                  <c:v>339247</c:v>
                </c:pt>
                <c:pt idx="6">
                  <c:v>334576</c:v>
                </c:pt>
                <c:pt idx="7">
                  <c:v>380788</c:v>
                </c:pt>
                <c:pt idx="8">
                  <c:v>478255</c:v>
                </c:pt>
                <c:pt idx="9">
                  <c:v>538269</c:v>
                </c:pt>
                <c:pt idx="10">
                  <c:v>514540</c:v>
                </c:pt>
                <c:pt idx="11">
                  <c:v>393700</c:v>
                </c:pt>
                <c:pt idx="12">
                  <c:v>86574</c:v>
                </c:pt>
                <c:pt idx="13">
                  <c:v>54450</c:v>
                </c:pt>
                <c:pt idx="14">
                  <c:v>77550</c:v>
                </c:pt>
                <c:pt idx="15">
                  <c:v>100449</c:v>
                </c:pt>
                <c:pt idx="16">
                  <c:v>64424</c:v>
                </c:pt>
                <c:pt idx="17">
                  <c:v>96353</c:v>
                </c:pt>
                <c:pt idx="18">
                  <c:v>120085</c:v>
                </c:pt>
                <c:pt idx="19">
                  <c:v>131738</c:v>
                </c:pt>
                <c:pt idx="20">
                  <c:v>84925</c:v>
                </c:pt>
                <c:pt idx="21">
                  <c:v>45446</c:v>
                </c:pt>
                <c:pt idx="22">
                  <c:v>34946</c:v>
                </c:pt>
                <c:pt idx="23">
                  <c:v>76364</c:v>
                </c:pt>
                <c:pt idx="24">
                  <c:v>351036</c:v>
                </c:pt>
                <c:pt idx="25">
                  <c:v>298313</c:v>
                </c:pt>
                <c:pt idx="26">
                  <c:v>478216</c:v>
                </c:pt>
                <c:pt idx="27">
                  <c:v>372280</c:v>
                </c:pt>
                <c:pt idx="28">
                  <c:v>418527</c:v>
                </c:pt>
                <c:pt idx="29">
                  <c:v>600678</c:v>
                </c:pt>
                <c:pt idx="30">
                  <c:v>603694</c:v>
                </c:pt>
                <c:pt idx="31">
                  <c:v>566801</c:v>
                </c:pt>
                <c:pt idx="32">
                  <c:v>458080</c:v>
                </c:pt>
                <c:pt idx="33">
                  <c:v>349634</c:v>
                </c:pt>
                <c:pt idx="34">
                  <c:v>394485</c:v>
                </c:pt>
                <c:pt idx="35">
                  <c:v>575499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F-4C90-8584-CFF0C2E2E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0845920"/>
        <c:axId val="850830080"/>
      </c:barChart>
      <c:lineChart>
        <c:grouping val="standard"/>
        <c:varyColors val="0"/>
        <c:ser>
          <c:idx val="1"/>
          <c:order val="1"/>
          <c:tx>
            <c:strRef>
              <c:f>'VIP_pivot_2011-13'!$C$3</c:f>
              <c:strCache>
                <c:ptCount val="1"/>
                <c:pt idx="0">
                  <c:v>Sum of moving_avg_sales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'VIP_pivot_2011-13'!$A$4:$A$43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</c:lvl>
              </c:multiLvlStrCache>
            </c:multiLvlStrRef>
          </c:cat>
          <c:val>
            <c:numRef>
              <c:f>'VIP_pivot_2011-13'!$C$4:$C$43</c:f>
              <c:numCache>
                <c:formatCode>General</c:formatCode>
                <c:ptCount val="36"/>
                <c:pt idx="0">
                  <c:v>269843</c:v>
                </c:pt>
                <c:pt idx="1">
                  <c:v>263093</c:v>
                </c:pt>
                <c:pt idx="2">
                  <c:v>264139</c:v>
                </c:pt>
                <c:pt idx="3">
                  <c:v>272594</c:v>
                </c:pt>
                <c:pt idx="4">
                  <c:v>280354</c:v>
                </c:pt>
                <c:pt idx="5">
                  <c:v>313155</c:v>
                </c:pt>
                <c:pt idx="6">
                  <c:v>360237</c:v>
                </c:pt>
                <c:pt idx="7">
                  <c:v>414227</c:v>
                </c:pt>
                <c:pt idx="8">
                  <c:v>449285</c:v>
                </c:pt>
                <c:pt idx="9">
                  <c:v>461110</c:v>
                </c:pt>
                <c:pt idx="10">
                  <c:v>402267</c:v>
                </c:pt>
                <c:pt idx="11">
                  <c:v>317506</c:v>
                </c:pt>
                <c:pt idx="12">
                  <c:v>225362</c:v>
                </c:pt>
                <c:pt idx="13">
                  <c:v>142544</c:v>
                </c:pt>
                <c:pt idx="14">
                  <c:v>76689</c:v>
                </c:pt>
                <c:pt idx="15">
                  <c:v>78645</c:v>
                </c:pt>
                <c:pt idx="16">
                  <c:v>91772</c:v>
                </c:pt>
                <c:pt idx="17">
                  <c:v>102609</c:v>
                </c:pt>
                <c:pt idx="18">
                  <c:v>99505</c:v>
                </c:pt>
                <c:pt idx="19">
                  <c:v>95709</c:v>
                </c:pt>
                <c:pt idx="20">
                  <c:v>83428</c:v>
                </c:pt>
                <c:pt idx="21">
                  <c:v>74683</c:v>
                </c:pt>
                <c:pt idx="22">
                  <c:v>118543</c:v>
                </c:pt>
                <c:pt idx="23">
                  <c:v>161221</c:v>
                </c:pt>
                <c:pt idx="24">
                  <c:v>247775</c:v>
                </c:pt>
                <c:pt idx="25">
                  <c:v>315241</c:v>
                </c:pt>
                <c:pt idx="26">
                  <c:v>383674</c:v>
                </c:pt>
                <c:pt idx="27">
                  <c:v>433602</c:v>
                </c:pt>
                <c:pt idx="28">
                  <c:v>494679</c:v>
                </c:pt>
                <c:pt idx="29">
                  <c:v>512396</c:v>
                </c:pt>
                <c:pt idx="30">
                  <c:v>529556</c:v>
                </c:pt>
                <c:pt idx="31">
                  <c:v>515777</c:v>
                </c:pt>
                <c:pt idx="32">
                  <c:v>474538</c:v>
                </c:pt>
                <c:pt idx="33">
                  <c:v>468899</c:v>
                </c:pt>
                <c:pt idx="34">
                  <c:v>444424</c:v>
                </c:pt>
                <c:pt idx="35">
                  <c:v>439872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66-40FD-80D9-6A37D28E6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313087"/>
        <c:axId val="1118291967"/>
      </c:lineChart>
      <c:catAx>
        <c:axId val="8508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30080"/>
        <c:crosses val="autoZero"/>
        <c:auto val="1"/>
        <c:lblAlgn val="ctr"/>
        <c:lblOffset val="100"/>
        <c:noMultiLvlLbl val="0"/>
      </c:catAx>
      <c:valAx>
        <c:axId val="8508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45920"/>
        <c:crosses val="autoZero"/>
        <c:crossBetween val="between"/>
      </c:valAx>
      <c:valAx>
        <c:axId val="11182919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13087"/>
        <c:crosses val="max"/>
        <c:crossBetween val="between"/>
      </c:valAx>
      <c:catAx>
        <c:axId val="1118313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8291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[14_Customer_Retention_VIP_Performance.xlsx]VIP_YoY_2011-13!PivotTable1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'VIP_YoY_2011-13'!$B$4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'VIP_YoY_2011-13'!$A$5:$A$8</c:f>
              <c:strCach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strCache>
            </c:strRef>
          </c:cat>
          <c:val>
            <c:numRef>
              <c:f>'VIP_YoY_2011-13'!$B$5:$B$8</c:f>
              <c:numCache>
                <c:formatCode>General</c:formatCode>
                <c:ptCount val="3"/>
                <c:pt idx="0">
                  <c:v>4300071</c:v>
                </c:pt>
                <c:pt idx="1">
                  <c:v>973304</c:v>
                </c:pt>
                <c:pt idx="2">
                  <c:v>5467243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F-4BC0-A85B-9FFC794A3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778368"/>
        <c:axId val="769769728"/>
      </c:lineChart>
      <c:catAx>
        <c:axId val="7697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69728"/>
        <c:crosses val="autoZero"/>
        <c:auto val="1"/>
        <c:lblAlgn val="ctr"/>
        <c:lblOffset val="100"/>
        <c:noMultiLvlLbl val="0"/>
      </c:catAx>
      <c:valAx>
        <c:axId val="76976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[14_Customer_Retention_VIP_Performance.xlsx]VIP_MoM_2011-13!PivotTable2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'VIP_MoM_2011-13'!$B$4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'VIP_MoM_2011-13'!$A$5:$A$17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'VIP_MoM_2011-13'!$B$5:$B$17</c:f>
              <c:numCache>
                <c:formatCode>General</c:formatCode>
                <c:ptCount val="12"/>
                <c:pt idx="0">
                  <c:v>734580</c:v>
                </c:pt>
                <c:pt idx="1">
                  <c:v>648540</c:v>
                </c:pt>
                <c:pt idx="2">
                  <c:v>772550</c:v>
                </c:pt>
                <c:pt idx="3">
                  <c:v>715573</c:v>
                </c:pt>
                <c:pt idx="4">
                  <c:v>751272</c:v>
                </c:pt>
                <c:pt idx="5">
                  <c:v>1036278</c:v>
                </c:pt>
                <c:pt idx="6">
                  <c:v>1058355</c:v>
                </c:pt>
                <c:pt idx="7">
                  <c:v>1079327</c:v>
                </c:pt>
                <c:pt idx="8">
                  <c:v>1021260</c:v>
                </c:pt>
                <c:pt idx="9">
                  <c:v>933349</c:v>
                </c:pt>
                <c:pt idx="10">
                  <c:v>943971</c:v>
                </c:pt>
                <c:pt idx="11">
                  <c:v>1045563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D-4329-9E2D-23360864F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612384"/>
        <c:axId val="413612864"/>
      </c:lineChart>
      <c:catAx>
        <c:axId val="41361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12864"/>
        <c:crosses val="autoZero"/>
        <c:auto val="1"/>
        <c:lblAlgn val="ctr"/>
        <c:lblOffset val="100"/>
        <c:noMultiLvlLbl val="0"/>
      </c:catAx>
      <c:valAx>
        <c:axId val="4136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1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2</xdr:row>
      <xdr:rowOff>0</xdr:rowOff>
    </xdr:from>
    <xdr:to>
      <xdr:col>10</xdr:col>
      <xdr:colOff>565150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C8AC9-0BD2-37F1-9D84-D0D10AA58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2</xdr:row>
      <xdr:rowOff>63500</xdr:rowOff>
    </xdr:from>
    <xdr:to>
      <xdr:col>10</xdr:col>
      <xdr:colOff>25400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451FB-9541-A3F7-EDBE-ECA3DAFEF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0.85144</cdr:x>
      <cdr:y>0.09028</cdr:y>
    </cdr:from>
    <cdr:to>
      <cdr:x>0.91011</cdr:x>
      <cdr:y>0.29398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FC17E001-160F-E75A-E4AE-D0D045F19A21}"/>
            </a:ext>
          </a:extLst>
        </cdr:cNvPr>
        <cdr:cNvCxnSpPr/>
      </cdr:nvCxnSpPr>
      <cdr:spPr>
        <a:xfrm xmlns:a="http://schemas.openxmlformats.org/drawingml/2006/main" flipH="1">
          <a:off x="4330700" y="247650"/>
          <a:ext cx="298450" cy="5588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0.78901</cdr:x>
      <cdr:y>0</cdr:y>
    </cdr:from>
    <cdr:to>
      <cdr:x>1</cdr:x>
      <cdr:y>0.09722</cdr:y>
    </cdr:to>
    <cdr:sp macro="" textlink="">
      <cdr:nvSpPr>
        <cdr:cNvPr id="5" name="TextBox 6">
          <a:extLst xmlns:a="http://schemas.openxmlformats.org/drawingml/2006/main">
            <a:ext uri="{FF2B5EF4-FFF2-40B4-BE49-F238E27FC236}">
              <a16:creationId xmlns:a16="http://schemas.microsoft.com/office/drawing/2014/main" id="{03A887E3-7F5D-0076-8A30-D1A3BC158733}"/>
            </a:ext>
          </a:extLst>
        </cdr:cNvPr>
        <cdr:cNvSpPr txBox="1"/>
      </cdr:nvSpPr>
      <cdr:spPr>
        <a:xfrm xmlns:a="http://schemas.openxmlformats.org/drawingml/2006/main">
          <a:off x="4013200" y="0"/>
          <a:ext cx="10731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Peak in 2013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152400</xdr:rowOff>
    </xdr:from>
    <xdr:to>
      <xdr:col>10</xdr:col>
      <xdr:colOff>266700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498A9-F9C2-DB0D-7740-E7941C910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3</xdr:row>
      <xdr:rowOff>165100</xdr:rowOff>
    </xdr:from>
    <xdr:to>
      <xdr:col>8</xdr:col>
      <xdr:colOff>457200</xdr:colOff>
      <xdr:row>7</xdr:row>
      <xdr:rowOff>31750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C17E001-160F-E75A-E4AE-D0D045F19A21}"/>
            </a:ext>
          </a:extLst>
        </xdr:cNvPr>
        <xdr:cNvCxnSpPr/>
      </xdr:nvCxnSpPr>
      <xdr:spPr>
        <a:xfrm flipH="1">
          <a:off x="5321300" y="787400"/>
          <a:ext cx="787400" cy="603250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412750</xdr:colOff>
      <xdr:row>2</xdr:row>
      <xdr:rowOff>165100</xdr:rowOff>
    </xdr:from>
    <xdr:to>
      <xdr:col>10</xdr:col>
      <xdr:colOff>266700</xdr:colOff>
      <xdr:row>5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A887E3-7F5D-0076-8A30-D1A3BC158733}"/>
            </a:ext>
          </a:extLst>
        </xdr:cNvPr>
        <xdr:cNvSpPr txBox="1"/>
      </xdr:nvSpPr>
      <xdr:spPr>
        <a:xfrm>
          <a:off x="6064250" y="603250"/>
          <a:ext cx="1073150" cy="46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Peak in summer months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ia Aitbrahim" refreshedDate="46091.646171180553" createdVersion="8" refreshedVersion="8" minRefreshableVersion="3" recordCount="36" xr:uid="{87941D3E-176B-43B2-B795-2FB40ED62726}">
  <cacheSource type="worksheet">
    <worksheetSource name="VIP_data"/>
  </cacheSource>
  <cacheFields count="7">
    <cacheField name="year" numFmtId="0">
      <sharedItems containsSemiMixedTypes="0" containsString="0" containsNumber="1" containsInteger="1" minValue="2011" maxValue="2014" count="4">
        <n v="2011"/>
        <n v="2012"/>
        <n v="2013"/>
        <n v="2014" u="1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total_orders" numFmtId="0">
      <sharedItems containsSemiMixedTypes="0" containsString="0" containsNumber="1" containsInteger="1" minValue="16" maxValue="277"/>
    </cacheField>
    <cacheField name="moving_avg_orders" numFmtId="0">
      <sharedItems containsSemiMixedTypes="0" containsString="0" containsNumber="1" containsInteger="1" minValue="35" maxValue="240"/>
    </cacheField>
    <cacheField name="total_sales" numFmtId="0">
      <sharedItems containsSemiMixedTypes="0" containsString="0" containsNumber="1" containsInteger="1" minValue="34946" maxValue="603694"/>
    </cacheField>
    <cacheField name="moving_avg_sales" numFmtId="0">
      <sharedItems containsSemiMixedTypes="0" containsString="0" containsNumber="1" containsInteger="1" minValue="74683" maxValue="529556"/>
    </cacheField>
  </cacheFields>
  <extLst>
    <ext xmlns:x14="http://schemas.microsoft.com/office/spreadsheetml/2009/9/main" uri="{725AE2AE-9491-48be-B2B4-4EB974FC3084}">
      <x14:pivotCacheDefinition pivotCacheId="71347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84"/>
    <n v="76"/>
    <n v="296970"/>
    <n v="269843"/>
  </r>
  <r>
    <x v="0"/>
    <x v="1"/>
    <x v="1"/>
    <n v="84"/>
    <n v="74"/>
    <n v="295777"/>
    <n v="263093"/>
  </r>
  <r>
    <x v="0"/>
    <x v="2"/>
    <x v="2"/>
    <n v="61"/>
    <n v="74"/>
    <n v="216784"/>
    <n v="264139"/>
  </r>
  <r>
    <x v="0"/>
    <x v="3"/>
    <x v="3"/>
    <n v="69"/>
    <n v="77"/>
    <n v="242844"/>
    <n v="272594"/>
  </r>
  <r>
    <x v="0"/>
    <x v="4"/>
    <x v="4"/>
    <n v="76"/>
    <n v="79"/>
    <n v="268321"/>
    <n v="280354"/>
  </r>
  <r>
    <x v="0"/>
    <x v="5"/>
    <x v="5"/>
    <n v="96"/>
    <n v="88"/>
    <n v="339247"/>
    <n v="313155"/>
  </r>
  <r>
    <x v="0"/>
    <x v="6"/>
    <x v="6"/>
    <n v="95"/>
    <n v="101"/>
    <n v="334576"/>
    <n v="360237"/>
  </r>
  <r>
    <x v="0"/>
    <x v="7"/>
    <x v="7"/>
    <n v="107"/>
    <n v="117"/>
    <n v="380788"/>
    <n v="414227"/>
  </r>
  <r>
    <x v="0"/>
    <x v="8"/>
    <x v="8"/>
    <n v="135"/>
    <n v="127"/>
    <n v="478255"/>
    <n v="449285"/>
  </r>
  <r>
    <x v="0"/>
    <x v="9"/>
    <x v="9"/>
    <n v="152"/>
    <n v="130"/>
    <n v="538269"/>
    <n v="461110"/>
  </r>
  <r>
    <x v="0"/>
    <x v="10"/>
    <x v="10"/>
    <n v="146"/>
    <n v="117"/>
    <n v="514540"/>
    <n v="402267"/>
  </r>
  <r>
    <x v="0"/>
    <x v="11"/>
    <x v="11"/>
    <n v="113"/>
    <n v="96"/>
    <n v="393700"/>
    <n v="317506"/>
  </r>
  <r>
    <x v="1"/>
    <x v="0"/>
    <x v="0"/>
    <n v="41"/>
    <n v="72"/>
    <n v="86574"/>
    <n v="225362"/>
  </r>
  <r>
    <x v="1"/>
    <x v="1"/>
    <x v="1"/>
    <n v="28"/>
    <n v="53"/>
    <n v="54450"/>
    <n v="142544"/>
  </r>
  <r>
    <x v="1"/>
    <x v="2"/>
    <x v="2"/>
    <n v="36"/>
    <n v="36"/>
    <n v="77550"/>
    <n v="76689"/>
  </r>
  <r>
    <x v="1"/>
    <x v="3"/>
    <x v="3"/>
    <n v="47"/>
    <n v="37"/>
    <n v="100449"/>
    <n v="78645"/>
  </r>
  <r>
    <x v="1"/>
    <x v="4"/>
    <x v="4"/>
    <n v="29"/>
    <n v="43"/>
    <n v="64424"/>
    <n v="91772"/>
  </r>
  <r>
    <x v="1"/>
    <x v="5"/>
    <x v="5"/>
    <n v="46"/>
    <n v="48"/>
    <n v="96353"/>
    <n v="102609"/>
  </r>
  <r>
    <x v="1"/>
    <x v="6"/>
    <x v="6"/>
    <n v="57"/>
    <n v="46"/>
    <n v="120085"/>
    <n v="99505"/>
  </r>
  <r>
    <x v="1"/>
    <x v="7"/>
    <x v="7"/>
    <n v="62"/>
    <n v="45"/>
    <n v="131738"/>
    <n v="95709"/>
  </r>
  <r>
    <x v="1"/>
    <x v="8"/>
    <x v="8"/>
    <n v="40"/>
    <n v="39"/>
    <n v="84925"/>
    <n v="83428"/>
  </r>
  <r>
    <x v="1"/>
    <x v="9"/>
    <x v="9"/>
    <n v="21"/>
    <n v="35"/>
    <n v="45446"/>
    <n v="74683"/>
  </r>
  <r>
    <x v="1"/>
    <x v="10"/>
    <x v="10"/>
    <n v="16"/>
    <n v="54"/>
    <n v="34946"/>
    <n v="118543"/>
  </r>
  <r>
    <x v="1"/>
    <x v="11"/>
    <x v="11"/>
    <n v="36"/>
    <n v="72"/>
    <n v="76364"/>
    <n v="161221"/>
  </r>
  <r>
    <x v="2"/>
    <x v="0"/>
    <x v="0"/>
    <n v="159"/>
    <n v="111"/>
    <n v="351036"/>
    <n v="247775"/>
  </r>
  <r>
    <x v="2"/>
    <x v="1"/>
    <x v="1"/>
    <n v="131"/>
    <n v="142"/>
    <n v="298313"/>
    <n v="315241"/>
  </r>
  <r>
    <x v="2"/>
    <x v="2"/>
    <x v="2"/>
    <n v="215"/>
    <n v="173"/>
    <n v="478216"/>
    <n v="383674"/>
  </r>
  <r>
    <x v="2"/>
    <x v="3"/>
    <x v="3"/>
    <n v="173"/>
    <n v="196"/>
    <n v="372280"/>
    <n v="433602"/>
  </r>
  <r>
    <x v="2"/>
    <x v="4"/>
    <x v="4"/>
    <n v="191"/>
    <n v="224"/>
    <n v="418527"/>
    <n v="494679"/>
  </r>
  <r>
    <x v="2"/>
    <x v="5"/>
    <x v="5"/>
    <n v="274"/>
    <n v="232"/>
    <n v="600678"/>
    <n v="512396"/>
  </r>
  <r>
    <x v="2"/>
    <x v="6"/>
    <x v="6"/>
    <n v="267"/>
    <n v="240"/>
    <n v="603694"/>
    <n v="529556"/>
  </r>
  <r>
    <x v="2"/>
    <x v="7"/>
    <x v="7"/>
    <n v="255"/>
    <n v="237"/>
    <n v="566801"/>
    <n v="515777"/>
  </r>
  <r>
    <x v="2"/>
    <x v="8"/>
    <x v="8"/>
    <n v="215"/>
    <n v="222"/>
    <n v="458080"/>
    <n v="474538"/>
  </r>
  <r>
    <x v="2"/>
    <x v="9"/>
    <x v="9"/>
    <n v="174"/>
    <n v="224"/>
    <n v="349634"/>
    <n v="468899"/>
  </r>
  <r>
    <x v="2"/>
    <x v="10"/>
    <x v="10"/>
    <n v="202"/>
    <n v="217"/>
    <n v="394485"/>
    <n v="444424"/>
  </r>
  <r>
    <x v="2"/>
    <x v="11"/>
    <x v="11"/>
    <n v="277"/>
    <n v="217"/>
    <n v="575499"/>
    <n v="4398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0A89A-A602-4829-B097-FE3435CC775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43" firstHeaderRow="0" firstDataRow="1" firstDataCol="1"/>
  <pivotFields count="7">
    <pivotField axis="axisRow" showAll="0">
      <items count="5">
        <item x="0"/>
        <item x="1"/>
        <item x="2"/>
        <item m="1"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dataField="1" showAll="0"/>
  </pivotFields>
  <rowFields count="2">
    <field x="0"/>
    <field x="2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5" baseField="0" baseItem="0"/>
    <dataField name="Sum of moving_avg_sales" fld="6" baseField="0" baseItem="0"/>
  </dataFields>
  <chartFormats count="2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FBD9A-8F05-4224-9680-E840C899AD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8" firstHeaderRow="1" firstDataRow="1" firstDataCol="1"/>
  <pivotFields count="7"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8D6EE-7D5F-4465-86B4-780B1E3BF6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17" firstHeaderRow="1" firstDataRow="1" firstDataCol="1"/>
  <pivotFields count="7">
    <pivotField showAll="0">
      <items count="5">
        <item x="0"/>
        <item x="1"/>
        <item x="2"/>
        <item m="1"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524A67-F6CF-43DE-8DE2-80576A9AA25A}" name="VIP_data" displayName="VIP_data" ref="A1:G37" totalsRowShown="0">
  <autoFilter ref="A1:G37" xr:uid="{D6524A67-F6CF-43DE-8DE2-80576A9AA25A}"/>
  <tableColumns count="7">
    <tableColumn id="1" xr3:uid="{3415E11A-6957-46F0-A675-F907BD0B3B77}" name="year"/>
    <tableColumn id="2" xr3:uid="{B6495BBF-7A39-478B-B9BB-4B04F1DCCE41}" name="month"/>
    <tableColumn id="3" xr3:uid="{9B2D381B-63C3-4B3C-B773-94A5BECEE13C}" name="month_name">
      <calculatedColumnFormula>_xlfn.XLOOKUP(B2,$I$2:$I$13,$J$2:$J$13)</calculatedColumnFormula>
    </tableColumn>
    <tableColumn id="4" xr3:uid="{AB6A9B9D-93DE-43E9-9539-D94233191E51}" name="total_orders"/>
    <tableColumn id="5" xr3:uid="{97D62530-F370-4B50-A847-EC9F45E48438}" name="moving_avg_orders"/>
    <tableColumn id="6" xr3:uid="{0D80E9E4-F567-401E-8C91-064990BA4B86}" name="total_sales"/>
    <tableColumn id="7" xr3:uid="{F732EFB7-A76F-4929-B8CE-046C95046680}" name="moving_avg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0128-481C-4EDF-AB5F-3F9A789CD4E7}">
  <dimension ref="A1:J37"/>
  <sheetViews>
    <sheetView zoomScaleNormal="100" workbookViewId="0">
      <selection activeCell="E10" sqref="E10"/>
    </sheetView>
  </sheetViews>
  <sheetFormatPr defaultRowHeight="14.5" x14ac:dyDescent="0.35"/>
  <cols>
    <col min="1" max="1" width="5.81640625" customWidth="1"/>
    <col min="2" max="2" width="7.54296875" customWidth="1"/>
    <col min="3" max="3" width="13.08984375" customWidth="1"/>
    <col min="4" max="4" width="12.26953125" customWidth="1"/>
    <col min="5" max="5" width="18.08984375" customWidth="1"/>
    <col min="6" max="6" width="11.26953125" customWidth="1"/>
    <col min="7" max="7" width="17.08984375" customWidth="1"/>
    <col min="9" max="9" width="12.6328125" bestFit="1" customWidth="1"/>
    <col min="10" max="10" width="4.08984375" bestFit="1" customWidth="1"/>
  </cols>
  <sheetData>
    <row r="1" spans="1:10" x14ac:dyDescent="0.35">
      <c r="A1" t="s">
        <v>0</v>
      </c>
      <c r="B1" t="s">
        <v>1</v>
      </c>
      <c r="C1" t="s">
        <v>3</v>
      </c>
      <c r="D1" t="s">
        <v>2</v>
      </c>
      <c r="E1" t="s">
        <v>17</v>
      </c>
      <c r="F1" t="s">
        <v>16</v>
      </c>
      <c r="G1" t="s">
        <v>18</v>
      </c>
      <c r="I1" t="s">
        <v>21</v>
      </c>
    </row>
    <row r="2" spans="1:10" x14ac:dyDescent="0.35">
      <c r="A2">
        <v>2011</v>
      </c>
      <c r="B2">
        <v>1</v>
      </c>
      <c r="C2" t="str">
        <f>_xlfn.XLOOKUP(B2,$I$2:$I$13,$J$2:$J$13)</f>
        <v>Jan</v>
      </c>
      <c r="D2">
        <v>84</v>
      </c>
      <c r="E2">
        <v>76</v>
      </c>
      <c r="F2">
        <v>296970</v>
      </c>
      <c r="G2">
        <v>269843</v>
      </c>
      <c r="I2">
        <v>1</v>
      </c>
      <c r="J2" t="s">
        <v>4</v>
      </c>
    </row>
    <row r="3" spans="1:10" x14ac:dyDescent="0.35">
      <c r="A3">
        <v>2011</v>
      </c>
      <c r="B3">
        <v>2</v>
      </c>
      <c r="C3" t="str">
        <f t="shared" ref="C3:C37" si="0">_xlfn.XLOOKUP(B3,$I$2:$I$13,$J$2:$J$13)</f>
        <v>Feb</v>
      </c>
      <c r="D3">
        <v>84</v>
      </c>
      <c r="E3">
        <v>74</v>
      </c>
      <c r="F3">
        <v>295777</v>
      </c>
      <c r="G3">
        <v>263093</v>
      </c>
      <c r="I3">
        <v>2</v>
      </c>
      <c r="J3" t="s">
        <v>5</v>
      </c>
    </row>
    <row r="4" spans="1:10" x14ac:dyDescent="0.35">
      <c r="A4">
        <v>2011</v>
      </c>
      <c r="B4">
        <v>3</v>
      </c>
      <c r="C4" t="str">
        <f t="shared" si="0"/>
        <v>Mar</v>
      </c>
      <c r="D4">
        <v>61</v>
      </c>
      <c r="E4">
        <v>74</v>
      </c>
      <c r="F4">
        <v>216784</v>
      </c>
      <c r="G4">
        <v>264139</v>
      </c>
      <c r="I4">
        <v>3</v>
      </c>
      <c r="J4" t="s">
        <v>6</v>
      </c>
    </row>
    <row r="5" spans="1:10" x14ac:dyDescent="0.35">
      <c r="A5">
        <v>2011</v>
      </c>
      <c r="B5">
        <v>4</v>
      </c>
      <c r="C5" t="str">
        <f t="shared" si="0"/>
        <v>Apr</v>
      </c>
      <c r="D5">
        <v>69</v>
      </c>
      <c r="E5">
        <v>77</v>
      </c>
      <c r="F5">
        <v>242844</v>
      </c>
      <c r="G5">
        <v>272594</v>
      </c>
      <c r="I5">
        <v>4</v>
      </c>
      <c r="J5" t="s">
        <v>7</v>
      </c>
    </row>
    <row r="6" spans="1:10" x14ac:dyDescent="0.35">
      <c r="A6">
        <v>2011</v>
      </c>
      <c r="B6">
        <v>5</v>
      </c>
      <c r="C6" t="str">
        <f t="shared" si="0"/>
        <v>May</v>
      </c>
      <c r="D6">
        <v>76</v>
      </c>
      <c r="E6">
        <v>79</v>
      </c>
      <c r="F6">
        <v>268321</v>
      </c>
      <c r="G6">
        <v>280354</v>
      </c>
      <c r="I6">
        <v>5</v>
      </c>
      <c r="J6" t="s">
        <v>8</v>
      </c>
    </row>
    <row r="7" spans="1:10" x14ac:dyDescent="0.35">
      <c r="A7">
        <v>2011</v>
      </c>
      <c r="B7">
        <v>6</v>
      </c>
      <c r="C7" t="str">
        <f t="shared" si="0"/>
        <v>Jun</v>
      </c>
      <c r="D7">
        <v>96</v>
      </c>
      <c r="E7">
        <v>88</v>
      </c>
      <c r="F7">
        <v>339247</v>
      </c>
      <c r="G7">
        <v>313155</v>
      </c>
      <c r="I7">
        <v>6</v>
      </c>
      <c r="J7" t="s">
        <v>9</v>
      </c>
    </row>
    <row r="8" spans="1:10" x14ac:dyDescent="0.35">
      <c r="A8">
        <v>2011</v>
      </c>
      <c r="B8">
        <v>7</v>
      </c>
      <c r="C8" t="str">
        <f t="shared" si="0"/>
        <v>Jul</v>
      </c>
      <c r="D8">
        <v>95</v>
      </c>
      <c r="E8">
        <v>101</v>
      </c>
      <c r="F8">
        <v>334576</v>
      </c>
      <c r="G8">
        <v>360237</v>
      </c>
      <c r="I8">
        <v>7</v>
      </c>
      <c r="J8" t="s">
        <v>10</v>
      </c>
    </row>
    <row r="9" spans="1:10" x14ac:dyDescent="0.35">
      <c r="A9">
        <v>2011</v>
      </c>
      <c r="B9">
        <v>8</v>
      </c>
      <c r="C9" t="str">
        <f t="shared" si="0"/>
        <v>Aug</v>
      </c>
      <c r="D9">
        <v>107</v>
      </c>
      <c r="E9">
        <v>117</v>
      </c>
      <c r="F9">
        <v>380788</v>
      </c>
      <c r="G9">
        <v>414227</v>
      </c>
      <c r="I9">
        <v>8</v>
      </c>
      <c r="J9" t="s">
        <v>11</v>
      </c>
    </row>
    <row r="10" spans="1:10" x14ac:dyDescent="0.35">
      <c r="A10">
        <v>2011</v>
      </c>
      <c r="B10">
        <v>9</v>
      </c>
      <c r="C10" t="str">
        <f t="shared" si="0"/>
        <v>Sep</v>
      </c>
      <c r="D10">
        <v>135</v>
      </c>
      <c r="E10">
        <v>127</v>
      </c>
      <c r="F10">
        <v>478255</v>
      </c>
      <c r="G10">
        <v>449285</v>
      </c>
      <c r="I10">
        <v>9</v>
      </c>
      <c r="J10" t="s">
        <v>12</v>
      </c>
    </row>
    <row r="11" spans="1:10" x14ac:dyDescent="0.35">
      <c r="A11">
        <v>2011</v>
      </c>
      <c r="B11">
        <v>10</v>
      </c>
      <c r="C11" t="str">
        <f t="shared" si="0"/>
        <v>Oct</v>
      </c>
      <c r="D11">
        <v>152</v>
      </c>
      <c r="E11">
        <v>130</v>
      </c>
      <c r="F11">
        <v>538269</v>
      </c>
      <c r="G11">
        <v>461110</v>
      </c>
      <c r="I11">
        <v>10</v>
      </c>
      <c r="J11" t="s">
        <v>13</v>
      </c>
    </row>
    <row r="12" spans="1:10" x14ac:dyDescent="0.35">
      <c r="A12">
        <v>2011</v>
      </c>
      <c r="B12">
        <v>11</v>
      </c>
      <c r="C12" t="str">
        <f t="shared" si="0"/>
        <v>Nov</v>
      </c>
      <c r="D12">
        <v>146</v>
      </c>
      <c r="E12">
        <v>117</v>
      </c>
      <c r="F12">
        <v>514540</v>
      </c>
      <c r="G12">
        <v>402267</v>
      </c>
      <c r="I12">
        <v>11</v>
      </c>
      <c r="J12" t="s">
        <v>14</v>
      </c>
    </row>
    <row r="13" spans="1:10" x14ac:dyDescent="0.35">
      <c r="A13">
        <v>2011</v>
      </c>
      <c r="B13">
        <v>12</v>
      </c>
      <c r="C13" t="str">
        <f t="shared" si="0"/>
        <v>Dec</v>
      </c>
      <c r="D13">
        <v>113</v>
      </c>
      <c r="E13">
        <v>96</v>
      </c>
      <c r="F13">
        <v>393700</v>
      </c>
      <c r="G13">
        <v>317506</v>
      </c>
      <c r="I13">
        <v>12</v>
      </c>
      <c r="J13" t="s">
        <v>15</v>
      </c>
    </row>
    <row r="14" spans="1:10" x14ac:dyDescent="0.35">
      <c r="A14">
        <v>2012</v>
      </c>
      <c r="B14">
        <v>1</v>
      </c>
      <c r="C14" t="str">
        <f t="shared" si="0"/>
        <v>Jan</v>
      </c>
      <c r="D14">
        <v>41</v>
      </c>
      <c r="E14">
        <v>72</v>
      </c>
      <c r="F14">
        <v>86574</v>
      </c>
      <c r="G14">
        <v>225362</v>
      </c>
    </row>
    <row r="15" spans="1:10" x14ac:dyDescent="0.35">
      <c r="A15">
        <v>2012</v>
      </c>
      <c r="B15">
        <v>2</v>
      </c>
      <c r="C15" t="str">
        <f t="shared" si="0"/>
        <v>Feb</v>
      </c>
      <c r="D15">
        <v>28</v>
      </c>
      <c r="E15">
        <v>53</v>
      </c>
      <c r="F15">
        <v>54450</v>
      </c>
      <c r="G15">
        <v>142544</v>
      </c>
    </row>
    <row r="16" spans="1:10" x14ac:dyDescent="0.35">
      <c r="A16">
        <v>2012</v>
      </c>
      <c r="B16">
        <v>3</v>
      </c>
      <c r="C16" t="str">
        <f t="shared" si="0"/>
        <v>Mar</v>
      </c>
      <c r="D16">
        <v>36</v>
      </c>
      <c r="E16">
        <v>36</v>
      </c>
      <c r="F16">
        <v>77550</v>
      </c>
      <c r="G16">
        <v>76689</v>
      </c>
    </row>
    <row r="17" spans="1:7" x14ac:dyDescent="0.35">
      <c r="A17">
        <v>2012</v>
      </c>
      <c r="B17">
        <v>4</v>
      </c>
      <c r="C17" t="str">
        <f t="shared" si="0"/>
        <v>Apr</v>
      </c>
      <c r="D17">
        <v>47</v>
      </c>
      <c r="E17">
        <v>37</v>
      </c>
      <c r="F17">
        <v>100449</v>
      </c>
      <c r="G17">
        <v>78645</v>
      </c>
    </row>
    <row r="18" spans="1:7" x14ac:dyDescent="0.35">
      <c r="A18">
        <v>2012</v>
      </c>
      <c r="B18">
        <v>5</v>
      </c>
      <c r="C18" t="str">
        <f t="shared" si="0"/>
        <v>May</v>
      </c>
      <c r="D18">
        <v>29</v>
      </c>
      <c r="E18">
        <v>43</v>
      </c>
      <c r="F18">
        <v>64424</v>
      </c>
      <c r="G18">
        <v>91772</v>
      </c>
    </row>
    <row r="19" spans="1:7" x14ac:dyDescent="0.35">
      <c r="A19">
        <v>2012</v>
      </c>
      <c r="B19">
        <v>6</v>
      </c>
      <c r="C19" t="str">
        <f t="shared" si="0"/>
        <v>Jun</v>
      </c>
      <c r="D19">
        <v>46</v>
      </c>
      <c r="E19">
        <v>48</v>
      </c>
      <c r="F19">
        <v>96353</v>
      </c>
      <c r="G19">
        <v>102609</v>
      </c>
    </row>
    <row r="20" spans="1:7" x14ac:dyDescent="0.35">
      <c r="A20">
        <v>2012</v>
      </c>
      <c r="B20">
        <v>7</v>
      </c>
      <c r="C20" t="str">
        <f t="shared" si="0"/>
        <v>Jul</v>
      </c>
      <c r="D20">
        <v>57</v>
      </c>
      <c r="E20">
        <v>46</v>
      </c>
      <c r="F20">
        <v>120085</v>
      </c>
      <c r="G20">
        <v>99505</v>
      </c>
    </row>
    <row r="21" spans="1:7" x14ac:dyDescent="0.35">
      <c r="A21">
        <v>2012</v>
      </c>
      <c r="B21">
        <v>8</v>
      </c>
      <c r="C21" t="str">
        <f t="shared" si="0"/>
        <v>Aug</v>
      </c>
      <c r="D21">
        <v>62</v>
      </c>
      <c r="E21">
        <v>45</v>
      </c>
      <c r="F21">
        <v>131738</v>
      </c>
      <c r="G21">
        <v>95709</v>
      </c>
    </row>
    <row r="22" spans="1:7" x14ac:dyDescent="0.35">
      <c r="A22">
        <v>2012</v>
      </c>
      <c r="B22">
        <v>9</v>
      </c>
      <c r="C22" t="str">
        <f t="shared" si="0"/>
        <v>Sep</v>
      </c>
      <c r="D22">
        <v>40</v>
      </c>
      <c r="E22">
        <v>39</v>
      </c>
      <c r="F22">
        <v>84925</v>
      </c>
      <c r="G22">
        <v>83428</v>
      </c>
    </row>
    <row r="23" spans="1:7" x14ac:dyDescent="0.35">
      <c r="A23">
        <v>2012</v>
      </c>
      <c r="B23">
        <v>10</v>
      </c>
      <c r="C23" t="str">
        <f t="shared" si="0"/>
        <v>Oct</v>
      </c>
      <c r="D23">
        <v>21</v>
      </c>
      <c r="E23">
        <v>35</v>
      </c>
      <c r="F23">
        <v>45446</v>
      </c>
      <c r="G23">
        <v>74683</v>
      </c>
    </row>
    <row r="24" spans="1:7" x14ac:dyDescent="0.35">
      <c r="A24">
        <v>2012</v>
      </c>
      <c r="B24">
        <v>11</v>
      </c>
      <c r="C24" t="str">
        <f t="shared" si="0"/>
        <v>Nov</v>
      </c>
      <c r="D24">
        <v>16</v>
      </c>
      <c r="E24">
        <v>54</v>
      </c>
      <c r="F24">
        <v>34946</v>
      </c>
      <c r="G24">
        <v>118543</v>
      </c>
    </row>
    <row r="25" spans="1:7" x14ac:dyDescent="0.35">
      <c r="A25">
        <v>2012</v>
      </c>
      <c r="B25">
        <v>12</v>
      </c>
      <c r="C25" t="str">
        <f t="shared" si="0"/>
        <v>Dec</v>
      </c>
      <c r="D25">
        <v>36</v>
      </c>
      <c r="E25">
        <v>72</v>
      </c>
      <c r="F25">
        <v>76364</v>
      </c>
      <c r="G25">
        <v>161221</v>
      </c>
    </row>
    <row r="26" spans="1:7" x14ac:dyDescent="0.35">
      <c r="A26">
        <v>2013</v>
      </c>
      <c r="B26">
        <v>1</v>
      </c>
      <c r="C26" t="str">
        <f t="shared" si="0"/>
        <v>Jan</v>
      </c>
      <c r="D26">
        <v>159</v>
      </c>
      <c r="E26">
        <v>111</v>
      </c>
      <c r="F26">
        <v>351036</v>
      </c>
      <c r="G26">
        <v>247775</v>
      </c>
    </row>
    <row r="27" spans="1:7" x14ac:dyDescent="0.35">
      <c r="A27">
        <v>2013</v>
      </c>
      <c r="B27">
        <v>2</v>
      </c>
      <c r="C27" t="str">
        <f t="shared" si="0"/>
        <v>Feb</v>
      </c>
      <c r="D27">
        <v>131</v>
      </c>
      <c r="E27">
        <v>142</v>
      </c>
      <c r="F27">
        <v>298313</v>
      </c>
      <c r="G27">
        <v>315241</v>
      </c>
    </row>
    <row r="28" spans="1:7" x14ac:dyDescent="0.35">
      <c r="A28">
        <v>2013</v>
      </c>
      <c r="B28">
        <v>3</v>
      </c>
      <c r="C28" t="str">
        <f t="shared" si="0"/>
        <v>Mar</v>
      </c>
      <c r="D28">
        <v>215</v>
      </c>
      <c r="E28">
        <v>173</v>
      </c>
      <c r="F28">
        <v>478216</v>
      </c>
      <c r="G28">
        <v>383674</v>
      </c>
    </row>
    <row r="29" spans="1:7" x14ac:dyDescent="0.35">
      <c r="A29">
        <v>2013</v>
      </c>
      <c r="B29">
        <v>4</v>
      </c>
      <c r="C29" t="str">
        <f t="shared" si="0"/>
        <v>Apr</v>
      </c>
      <c r="D29">
        <v>173</v>
      </c>
      <c r="E29">
        <v>196</v>
      </c>
      <c r="F29">
        <v>372280</v>
      </c>
      <c r="G29">
        <v>433602</v>
      </c>
    </row>
    <row r="30" spans="1:7" x14ac:dyDescent="0.35">
      <c r="A30">
        <v>2013</v>
      </c>
      <c r="B30">
        <v>5</v>
      </c>
      <c r="C30" t="str">
        <f t="shared" si="0"/>
        <v>May</v>
      </c>
      <c r="D30">
        <v>191</v>
      </c>
      <c r="E30">
        <v>224</v>
      </c>
      <c r="F30">
        <v>418527</v>
      </c>
      <c r="G30">
        <v>494679</v>
      </c>
    </row>
    <row r="31" spans="1:7" x14ac:dyDescent="0.35">
      <c r="A31">
        <v>2013</v>
      </c>
      <c r="B31">
        <v>6</v>
      </c>
      <c r="C31" t="str">
        <f t="shared" si="0"/>
        <v>Jun</v>
      </c>
      <c r="D31">
        <v>274</v>
      </c>
      <c r="E31">
        <v>232</v>
      </c>
      <c r="F31">
        <v>600678</v>
      </c>
      <c r="G31">
        <v>512396</v>
      </c>
    </row>
    <row r="32" spans="1:7" x14ac:dyDescent="0.35">
      <c r="A32">
        <v>2013</v>
      </c>
      <c r="B32">
        <v>7</v>
      </c>
      <c r="C32" t="str">
        <f t="shared" si="0"/>
        <v>Jul</v>
      </c>
      <c r="D32">
        <v>267</v>
      </c>
      <c r="E32">
        <v>240</v>
      </c>
      <c r="F32">
        <v>603694</v>
      </c>
      <c r="G32">
        <v>529556</v>
      </c>
    </row>
    <row r="33" spans="1:7" x14ac:dyDescent="0.35">
      <c r="A33">
        <v>2013</v>
      </c>
      <c r="B33">
        <v>8</v>
      </c>
      <c r="C33" t="str">
        <f t="shared" si="0"/>
        <v>Aug</v>
      </c>
      <c r="D33">
        <v>255</v>
      </c>
      <c r="E33">
        <v>237</v>
      </c>
      <c r="F33">
        <v>566801</v>
      </c>
      <c r="G33">
        <v>515777</v>
      </c>
    </row>
    <row r="34" spans="1:7" x14ac:dyDescent="0.35">
      <c r="A34">
        <v>2013</v>
      </c>
      <c r="B34">
        <v>9</v>
      </c>
      <c r="C34" t="str">
        <f t="shared" si="0"/>
        <v>Sep</v>
      </c>
      <c r="D34">
        <v>215</v>
      </c>
      <c r="E34">
        <v>222</v>
      </c>
      <c r="F34">
        <v>458080</v>
      </c>
      <c r="G34">
        <v>474538</v>
      </c>
    </row>
    <row r="35" spans="1:7" x14ac:dyDescent="0.35">
      <c r="A35">
        <v>2013</v>
      </c>
      <c r="B35">
        <v>10</v>
      </c>
      <c r="C35" t="str">
        <f t="shared" si="0"/>
        <v>Oct</v>
      </c>
      <c r="D35">
        <v>174</v>
      </c>
      <c r="E35">
        <v>224</v>
      </c>
      <c r="F35">
        <v>349634</v>
      </c>
      <c r="G35">
        <v>468899</v>
      </c>
    </row>
    <row r="36" spans="1:7" x14ac:dyDescent="0.35">
      <c r="A36">
        <v>2013</v>
      </c>
      <c r="B36">
        <v>11</v>
      </c>
      <c r="C36" t="str">
        <f t="shared" si="0"/>
        <v>Nov</v>
      </c>
      <c r="D36">
        <v>202</v>
      </c>
      <c r="E36">
        <v>217</v>
      </c>
      <c r="F36">
        <v>394485</v>
      </c>
      <c r="G36">
        <v>444424</v>
      </c>
    </row>
    <row r="37" spans="1:7" x14ac:dyDescent="0.35">
      <c r="A37">
        <v>2013</v>
      </c>
      <c r="B37">
        <v>12</v>
      </c>
      <c r="C37" t="str">
        <f t="shared" si="0"/>
        <v>Dec</v>
      </c>
      <c r="D37">
        <v>277</v>
      </c>
      <c r="E37">
        <v>217</v>
      </c>
      <c r="F37">
        <v>575499</v>
      </c>
      <c r="G37">
        <v>439872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D965-394B-48EB-AB73-8C7D72BED492}">
  <dimension ref="A1:C43"/>
  <sheetViews>
    <sheetView workbookViewId="0"/>
  </sheetViews>
  <sheetFormatPr defaultRowHeight="14.5" x14ac:dyDescent="0.35"/>
  <cols>
    <col min="1" max="1" width="12.453125" bestFit="1" customWidth="1"/>
    <col min="2" max="2" width="16.08984375" bestFit="1" customWidth="1"/>
    <col min="3" max="3" width="22.1796875" bestFit="1" customWidth="1"/>
    <col min="4" max="4" width="16.08984375" bestFit="1" customWidth="1"/>
  </cols>
  <sheetData>
    <row r="1" spans="1:3" ht="18.5" x14ac:dyDescent="0.45">
      <c r="A1" s="4" t="s">
        <v>24</v>
      </c>
    </row>
    <row r="3" spans="1:3" x14ac:dyDescent="0.35">
      <c r="A3" s="1" t="s">
        <v>20</v>
      </c>
      <c r="B3" t="s">
        <v>22</v>
      </c>
      <c r="C3" t="s">
        <v>23</v>
      </c>
    </row>
    <row r="4" spans="1:3" x14ac:dyDescent="0.35">
      <c r="A4" s="2">
        <v>2011</v>
      </c>
      <c r="B4">
        <v>4300071</v>
      </c>
      <c r="C4">
        <v>4067810</v>
      </c>
    </row>
    <row r="5" spans="1:3" x14ac:dyDescent="0.35">
      <c r="A5" s="3" t="s">
        <v>4</v>
      </c>
      <c r="B5">
        <v>296970</v>
      </c>
      <c r="C5">
        <v>269843</v>
      </c>
    </row>
    <row r="6" spans="1:3" x14ac:dyDescent="0.35">
      <c r="A6" s="3" t="s">
        <v>5</v>
      </c>
      <c r="B6">
        <v>295777</v>
      </c>
      <c r="C6">
        <v>263093</v>
      </c>
    </row>
    <row r="7" spans="1:3" x14ac:dyDescent="0.35">
      <c r="A7" s="3" t="s">
        <v>6</v>
      </c>
      <c r="B7">
        <v>216784</v>
      </c>
      <c r="C7">
        <v>264139</v>
      </c>
    </row>
    <row r="8" spans="1:3" x14ac:dyDescent="0.35">
      <c r="A8" s="3" t="s">
        <v>7</v>
      </c>
      <c r="B8">
        <v>242844</v>
      </c>
      <c r="C8">
        <v>272594</v>
      </c>
    </row>
    <row r="9" spans="1:3" x14ac:dyDescent="0.35">
      <c r="A9" s="3" t="s">
        <v>8</v>
      </c>
      <c r="B9">
        <v>268321</v>
      </c>
      <c r="C9">
        <v>280354</v>
      </c>
    </row>
    <row r="10" spans="1:3" x14ac:dyDescent="0.35">
      <c r="A10" s="3" t="s">
        <v>9</v>
      </c>
      <c r="B10">
        <v>339247</v>
      </c>
      <c r="C10">
        <v>313155</v>
      </c>
    </row>
    <row r="11" spans="1:3" x14ac:dyDescent="0.35">
      <c r="A11" s="3" t="s">
        <v>10</v>
      </c>
      <c r="B11">
        <v>334576</v>
      </c>
      <c r="C11">
        <v>360237</v>
      </c>
    </row>
    <row r="12" spans="1:3" x14ac:dyDescent="0.35">
      <c r="A12" s="3" t="s">
        <v>11</v>
      </c>
      <c r="B12">
        <v>380788</v>
      </c>
      <c r="C12">
        <v>414227</v>
      </c>
    </row>
    <row r="13" spans="1:3" x14ac:dyDescent="0.35">
      <c r="A13" s="3" t="s">
        <v>12</v>
      </c>
      <c r="B13">
        <v>478255</v>
      </c>
      <c r="C13">
        <v>449285</v>
      </c>
    </row>
    <row r="14" spans="1:3" x14ac:dyDescent="0.35">
      <c r="A14" s="3" t="s">
        <v>13</v>
      </c>
      <c r="B14">
        <v>538269</v>
      </c>
      <c r="C14">
        <v>461110</v>
      </c>
    </row>
    <row r="15" spans="1:3" x14ac:dyDescent="0.35">
      <c r="A15" s="3" t="s">
        <v>14</v>
      </c>
      <c r="B15">
        <v>514540</v>
      </c>
      <c r="C15">
        <v>402267</v>
      </c>
    </row>
    <row r="16" spans="1:3" x14ac:dyDescent="0.35">
      <c r="A16" s="3" t="s">
        <v>15</v>
      </c>
      <c r="B16">
        <v>393700</v>
      </c>
      <c r="C16">
        <v>317506</v>
      </c>
    </row>
    <row r="17" spans="1:3" x14ac:dyDescent="0.35">
      <c r="A17" s="2">
        <v>2012</v>
      </c>
      <c r="B17">
        <v>973304</v>
      </c>
      <c r="C17">
        <v>1350710</v>
      </c>
    </row>
    <row r="18" spans="1:3" x14ac:dyDescent="0.35">
      <c r="A18" s="3" t="s">
        <v>4</v>
      </c>
      <c r="B18">
        <v>86574</v>
      </c>
      <c r="C18">
        <v>225362</v>
      </c>
    </row>
    <row r="19" spans="1:3" x14ac:dyDescent="0.35">
      <c r="A19" s="3" t="s">
        <v>5</v>
      </c>
      <c r="B19">
        <v>54450</v>
      </c>
      <c r="C19">
        <v>142544</v>
      </c>
    </row>
    <row r="20" spans="1:3" x14ac:dyDescent="0.35">
      <c r="A20" s="3" t="s">
        <v>6</v>
      </c>
      <c r="B20">
        <v>77550</v>
      </c>
      <c r="C20">
        <v>76689</v>
      </c>
    </row>
    <row r="21" spans="1:3" x14ac:dyDescent="0.35">
      <c r="A21" s="3" t="s">
        <v>7</v>
      </c>
      <c r="B21">
        <v>100449</v>
      </c>
      <c r="C21">
        <v>78645</v>
      </c>
    </row>
    <row r="22" spans="1:3" x14ac:dyDescent="0.35">
      <c r="A22" s="3" t="s">
        <v>8</v>
      </c>
      <c r="B22">
        <v>64424</v>
      </c>
      <c r="C22">
        <v>91772</v>
      </c>
    </row>
    <row r="23" spans="1:3" x14ac:dyDescent="0.35">
      <c r="A23" s="3" t="s">
        <v>9</v>
      </c>
      <c r="B23">
        <v>96353</v>
      </c>
      <c r="C23">
        <v>102609</v>
      </c>
    </row>
    <row r="24" spans="1:3" x14ac:dyDescent="0.35">
      <c r="A24" s="3" t="s">
        <v>10</v>
      </c>
      <c r="B24">
        <v>120085</v>
      </c>
      <c r="C24">
        <v>99505</v>
      </c>
    </row>
    <row r="25" spans="1:3" x14ac:dyDescent="0.35">
      <c r="A25" s="3" t="s">
        <v>11</v>
      </c>
      <c r="B25">
        <v>131738</v>
      </c>
      <c r="C25">
        <v>95709</v>
      </c>
    </row>
    <row r="26" spans="1:3" x14ac:dyDescent="0.35">
      <c r="A26" s="3" t="s">
        <v>12</v>
      </c>
      <c r="B26">
        <v>84925</v>
      </c>
      <c r="C26">
        <v>83428</v>
      </c>
    </row>
    <row r="27" spans="1:3" x14ac:dyDescent="0.35">
      <c r="A27" s="3" t="s">
        <v>13</v>
      </c>
      <c r="B27">
        <v>45446</v>
      </c>
      <c r="C27">
        <v>74683</v>
      </c>
    </row>
    <row r="28" spans="1:3" x14ac:dyDescent="0.35">
      <c r="A28" s="3" t="s">
        <v>14</v>
      </c>
      <c r="B28">
        <v>34946</v>
      </c>
      <c r="C28">
        <v>118543</v>
      </c>
    </row>
    <row r="29" spans="1:3" x14ac:dyDescent="0.35">
      <c r="A29" s="3" t="s">
        <v>15</v>
      </c>
      <c r="B29">
        <v>76364</v>
      </c>
      <c r="C29">
        <v>161221</v>
      </c>
    </row>
    <row r="30" spans="1:3" x14ac:dyDescent="0.35">
      <c r="A30" s="2">
        <v>2013</v>
      </c>
      <c r="B30">
        <v>5467243</v>
      </c>
      <c r="C30">
        <v>5260433</v>
      </c>
    </row>
    <row r="31" spans="1:3" x14ac:dyDescent="0.35">
      <c r="A31" s="3" t="s">
        <v>4</v>
      </c>
      <c r="B31">
        <v>351036</v>
      </c>
      <c r="C31">
        <v>247775</v>
      </c>
    </row>
    <row r="32" spans="1:3" x14ac:dyDescent="0.35">
      <c r="A32" s="3" t="s">
        <v>5</v>
      </c>
      <c r="B32">
        <v>298313</v>
      </c>
      <c r="C32">
        <v>315241</v>
      </c>
    </row>
    <row r="33" spans="1:3" x14ac:dyDescent="0.35">
      <c r="A33" s="3" t="s">
        <v>6</v>
      </c>
      <c r="B33">
        <v>478216</v>
      </c>
      <c r="C33">
        <v>383674</v>
      </c>
    </row>
    <row r="34" spans="1:3" x14ac:dyDescent="0.35">
      <c r="A34" s="3" t="s">
        <v>7</v>
      </c>
      <c r="B34">
        <v>372280</v>
      </c>
      <c r="C34">
        <v>433602</v>
      </c>
    </row>
    <row r="35" spans="1:3" x14ac:dyDescent="0.35">
      <c r="A35" s="3" t="s">
        <v>8</v>
      </c>
      <c r="B35">
        <v>418527</v>
      </c>
      <c r="C35">
        <v>494679</v>
      </c>
    </row>
    <row r="36" spans="1:3" x14ac:dyDescent="0.35">
      <c r="A36" s="3" t="s">
        <v>9</v>
      </c>
      <c r="B36">
        <v>600678</v>
      </c>
      <c r="C36">
        <v>512396</v>
      </c>
    </row>
    <row r="37" spans="1:3" x14ac:dyDescent="0.35">
      <c r="A37" s="3" t="s">
        <v>10</v>
      </c>
      <c r="B37">
        <v>603694</v>
      </c>
      <c r="C37">
        <v>529556</v>
      </c>
    </row>
    <row r="38" spans="1:3" x14ac:dyDescent="0.35">
      <c r="A38" s="3" t="s">
        <v>11</v>
      </c>
      <c r="B38">
        <v>566801</v>
      </c>
      <c r="C38">
        <v>515777</v>
      </c>
    </row>
    <row r="39" spans="1:3" x14ac:dyDescent="0.35">
      <c r="A39" s="3" t="s">
        <v>12</v>
      </c>
      <c r="B39">
        <v>458080</v>
      </c>
      <c r="C39">
        <v>474538</v>
      </c>
    </row>
    <row r="40" spans="1:3" x14ac:dyDescent="0.35">
      <c r="A40" s="3" t="s">
        <v>13</v>
      </c>
      <c r="B40">
        <v>349634</v>
      </c>
      <c r="C40">
        <v>468899</v>
      </c>
    </row>
    <row r="41" spans="1:3" x14ac:dyDescent="0.35">
      <c r="A41" s="3" t="s">
        <v>14</v>
      </c>
      <c r="B41">
        <v>394485</v>
      </c>
      <c r="C41">
        <v>444424</v>
      </c>
    </row>
    <row r="42" spans="1:3" x14ac:dyDescent="0.35">
      <c r="A42" s="3" t="s">
        <v>15</v>
      </c>
      <c r="B42">
        <v>575499</v>
      </c>
      <c r="C42">
        <v>439872</v>
      </c>
    </row>
    <row r="43" spans="1:3" x14ac:dyDescent="0.35">
      <c r="A43" s="2" t="s">
        <v>19</v>
      </c>
      <c r="B43">
        <v>10740618</v>
      </c>
      <c r="C43">
        <v>10678953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12D4-EFFA-4586-B52E-AA84D9D10468}">
  <dimension ref="A1:B8"/>
  <sheetViews>
    <sheetView tabSelected="1" workbookViewId="0">
      <selection activeCell="H2" sqref="H2"/>
    </sheetView>
  </sheetViews>
  <sheetFormatPr defaultRowHeight="14.5" x14ac:dyDescent="0.35"/>
  <cols>
    <col min="1" max="1" width="12.453125" bestFit="1" customWidth="1"/>
    <col min="2" max="3" width="16.08984375" bestFit="1" customWidth="1"/>
  </cols>
  <sheetData>
    <row r="1" spans="1:2" ht="18.5" x14ac:dyDescent="0.45">
      <c r="A1" s="4" t="s">
        <v>25</v>
      </c>
    </row>
    <row r="2" spans="1:2" ht="16" x14ac:dyDescent="0.4">
      <c r="A2" s="5" t="s">
        <v>28</v>
      </c>
    </row>
    <row r="4" spans="1:2" x14ac:dyDescent="0.35">
      <c r="A4" s="1" t="s">
        <v>20</v>
      </c>
      <c r="B4" t="s">
        <v>22</v>
      </c>
    </row>
    <row r="5" spans="1:2" x14ac:dyDescent="0.35">
      <c r="A5" s="2">
        <v>2011</v>
      </c>
      <c r="B5">
        <v>4300071</v>
      </c>
    </row>
    <row r="6" spans="1:2" x14ac:dyDescent="0.35">
      <c r="A6" s="2">
        <v>2012</v>
      </c>
      <c r="B6">
        <v>973304</v>
      </c>
    </row>
    <row r="7" spans="1:2" x14ac:dyDescent="0.35">
      <c r="A7" s="2">
        <v>2013</v>
      </c>
      <c r="B7">
        <v>5467243</v>
      </c>
    </row>
    <row r="8" spans="1:2" x14ac:dyDescent="0.35">
      <c r="A8" s="2" t="s">
        <v>19</v>
      </c>
      <c r="B8">
        <v>10740618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5D6C-0BC4-42CA-93CC-28EB9F5D753E}">
  <dimension ref="A1:B17"/>
  <sheetViews>
    <sheetView workbookViewId="0">
      <selection activeCell="L6" sqref="L6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1" spans="1:2" ht="18.5" x14ac:dyDescent="0.45">
      <c r="A1" s="4" t="s">
        <v>26</v>
      </c>
    </row>
    <row r="2" spans="1:2" ht="16" x14ac:dyDescent="0.4">
      <c r="A2" s="5" t="s">
        <v>27</v>
      </c>
    </row>
    <row r="4" spans="1:2" x14ac:dyDescent="0.35">
      <c r="A4" s="1" t="s">
        <v>20</v>
      </c>
      <c r="B4" t="s">
        <v>22</v>
      </c>
    </row>
    <row r="5" spans="1:2" x14ac:dyDescent="0.35">
      <c r="A5" s="2">
        <v>1</v>
      </c>
      <c r="B5">
        <v>734580</v>
      </c>
    </row>
    <row r="6" spans="1:2" x14ac:dyDescent="0.35">
      <c r="A6" s="2">
        <v>2</v>
      </c>
      <c r="B6">
        <v>648540</v>
      </c>
    </row>
    <row r="7" spans="1:2" x14ac:dyDescent="0.35">
      <c r="A7" s="2">
        <v>3</v>
      </c>
      <c r="B7">
        <v>772550</v>
      </c>
    </row>
    <row r="8" spans="1:2" x14ac:dyDescent="0.35">
      <c r="A8" s="2">
        <v>4</v>
      </c>
      <c r="B8">
        <v>715573</v>
      </c>
    </row>
    <row r="9" spans="1:2" x14ac:dyDescent="0.35">
      <c r="A9" s="2">
        <v>5</v>
      </c>
      <c r="B9">
        <v>751272</v>
      </c>
    </row>
    <row r="10" spans="1:2" x14ac:dyDescent="0.35">
      <c r="A10" s="2">
        <v>6</v>
      </c>
      <c r="B10">
        <v>1036278</v>
      </c>
    </row>
    <row r="11" spans="1:2" x14ac:dyDescent="0.35">
      <c r="A11" s="2">
        <v>7</v>
      </c>
      <c r="B11">
        <v>1058355</v>
      </c>
    </row>
    <row r="12" spans="1:2" x14ac:dyDescent="0.35">
      <c r="A12" s="2">
        <v>8</v>
      </c>
      <c r="B12">
        <v>1079327</v>
      </c>
    </row>
    <row r="13" spans="1:2" x14ac:dyDescent="0.35">
      <c r="A13" s="2">
        <v>9</v>
      </c>
      <c r="B13">
        <v>1021260</v>
      </c>
    </row>
    <row r="14" spans="1:2" x14ac:dyDescent="0.35">
      <c r="A14" s="2">
        <v>10</v>
      </c>
      <c r="B14">
        <v>933349</v>
      </c>
    </row>
    <row r="15" spans="1:2" x14ac:dyDescent="0.35">
      <c r="A15" s="2">
        <v>11</v>
      </c>
      <c r="B15">
        <v>943971</v>
      </c>
    </row>
    <row r="16" spans="1:2" x14ac:dyDescent="0.35">
      <c r="A16" s="2">
        <v>12</v>
      </c>
      <c r="B16">
        <v>1045563</v>
      </c>
    </row>
    <row r="17" spans="1:2" x14ac:dyDescent="0.35">
      <c r="A17" s="2" t="s">
        <v>19</v>
      </c>
      <c r="B17">
        <v>10740618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VIP_data_2011-13</vt:lpstr>
      <vt:lpstr>VIP_pivot_2011-13</vt:lpstr>
      <vt:lpstr>VIP_YoY_2011-13</vt:lpstr>
      <vt:lpstr>VIP_MoM_2011-13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Kamilia Aitbrahim</dc:creator>
  <cp:lastModifiedBy>Kamilia Aitbrahim</cp:lastModifiedBy>
  <dcterms:created xsi:type="dcterms:W3CDTF">2026-03-10T10:46:24Z</dcterms:created>
  <dcterms:modified xsi:type="dcterms:W3CDTF">2026-03-11T18:00:51Z</dcterms:modified>
</cp:coreProperties>
</file>